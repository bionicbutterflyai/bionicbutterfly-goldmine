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AI per Session" sheetId="3" state="visible" r:id="rId5"/>
    <sheet name="Payment Ski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<sst xmlns="http://schemas.openxmlformats.org/spreadsheetml/2006/main" count="63" uniqueCount="54">
  <si>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BIONIQ TRADER — COST MODEL (at a glance)</t>
  </si>
  <si>
    <t xml:space="preserve">VARIABLE COST PER COACHING SESSION (AI)</t>
  </si>
  <si>
    <t xml:space="preserve">Model</t>
  </si>
  <si>
    <t xml:space="preserve">$ / session</t>
  </si>
  <si>
    <t xml:space="preserve">¢ / session</t>
  </si>
  <si>
    <t xml:space="preserve">Opus 4.8</t>
  </si>
  <si>
    <t xml:space="preserve">Sonnet 4.6</t>
  </si>
  <si>
    <t xml:space="preserve">Haiku 4.5</t>
  </si>
  <si>
    <t xml:space="preserve">PAYMENT SKIM (Stripe)</t>
  </si>
  <si>
    <t xml:space="preserve">$10 charge — effective %</t>
  </si>
  <si>
    <t xml:space="preserve">$50 charge — effective %</t>
  </si>
  <si>
    <t xml:space="preserve">CLOUDFLARE</t>
  </si>
  <si>
    <t xml:space="preserve">~$0 variable (tokens pass through at cost); cache hits free; optional ~$5/mo flat (Workers Paid).</t>
  </si>
  <si>
    <t xml:space="preserve">BOTTOM LINE</t>
  </si>
  <si>
    <t xml:space="preserve">Variable cost per session is dominated by Anthropic, not Stripe or Cloudflare —</t>
  </si>
  <si>
    <t xml:space="preserve">single-digit cents with the levers on (cache static context, route cheap tasks to Haiku,</t>
  </si>
  <si>
    <t xml:space="preserve">reserve Sonnet/Opus for coaching judgment, batch the Briefing). Set the credit price</t>
  </si>
  <si>
    <t xml:space="preserve">comfortably above that. The one number to respect: the ~6% payment skim on sub-$10 charges.</t>
  </si>
  <si>
    <t xml:space="preserve">BIONIQ TRADER — COST MODEL ASSUMPTIONS</t>
  </si>
  <si>
    <t xml:space="preserve">ANTHROPIC RATES ($ per 1M tokens)</t>
  </si>
  <si>
    <t xml:space="preserve">Input</t>
  </si>
  <si>
    <t xml:space="preserve">Output</t>
  </si>
  <si>
    <t xml:space="preserve">LEVERS</t>
  </si>
  <si>
    <t xml:space="preserve">Cache read multiplier (x input)</t>
  </si>
  <si>
    <t xml:space="preserve">Batch discount (x, for Briefing)</t>
  </si>
  <si>
    <t xml:space="preserve">PER COACHING SESSION (tokens) — edit these</t>
  </si>
  <si>
    <t xml:space="preserve">Cached context (dossier+strat+rubric)</t>
  </si>
  <si>
    <t xml:space="preserve">Fresh input (trade data + request)</t>
  </si>
  <si>
    <t xml:space="preserve">Output (coaching)</t>
  </si>
  <si>
    <t xml:space="preserve">STRIPE</t>
  </si>
  <si>
    <t xml:space="preserve">Percentage</t>
  </si>
  <si>
    <t xml:space="preserve">Fixed fee — US ($)</t>
  </si>
  <si>
    <t xml:space="preserve">Fixed fee — Canada (C$)</t>
  </si>
  <si>
    <t xml:space="preserve">AI Gateway variable per call (pass-through)</t>
  </si>
  <si>
    <t xml:space="preserve">Workers Paid flat ($/mo, optional)</t>
  </si>
  <si>
    <t xml:space="preserve">Unified-billing fee (optional %)</t>
  </si>
  <si>
    <t xml:space="preserve">AI COST PER COACHING SESSION</t>
  </si>
  <si>
    <t xml:space="preserve">Computed from Assumptions. Change token counts there; this recalculates.</t>
  </si>
  <si>
    <t xml:space="preserve">Component</t>
  </si>
  <si>
    <t xml:space="preserve">Tokens</t>
  </si>
  <si>
    <t xml:space="preserve">Rate basis</t>
  </si>
  <si>
    <t xml:space="preserve">Cached context read</t>
  </si>
  <si>
    <t xml:space="preserve">input x 0.1</t>
  </si>
  <si>
    <t xml:space="preserve">Fresh input</t>
  </si>
  <si>
    <t xml:space="preserve">input</t>
  </si>
  <si>
    <t xml:space="preserve">output</t>
  </si>
  <si>
    <t xml:space="preserve">TOTAL per session ($)</t>
  </si>
  <si>
    <t xml:space="preserve">TOTAL per session (¢)</t>
  </si>
  <si>
    <t xml:space="preserve">STRIPE PAYMENT SKIM (US; Canada = same % + C$0.30)</t>
  </si>
  <si>
    <t xml:space="preserve">The fixed 30¢ dominates small charges — the $10 toll / $9.99 journal is ~6%, not 2.9%.</t>
  </si>
  <si>
    <t xml:space="preserve">Charge</t>
  </si>
  <si>
    <t xml:space="preserve">Stripe fee</t>
  </si>
  <si>
    <t xml:space="preserve">Net to you</t>
  </si>
  <si>
    <t xml:space="preserve">Effective 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</si>
</sst>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00"/>
    <numFmt numFmtId="166" formatCode="0.00\¢"/>
    <numFmt numFmtId="167" formatCode="0.0%"/>
    <numFmt numFmtId="168" formatCode="\$#,##0"/>
    <numFmt numFmtId="169" formatCode="0.0\x"/>
    <numFmt numFmtId="170" formatCode="#,##0"/>
    <numFmt numFmtId="171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2E5B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B8A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f aca="false">'AI per Session'!D8</f>
        <v>0.075</v>
      </c>
      <c r="C5" s="5" t="n">
        <f aca="false">'AI per Session'!D9</f>
        <v>7.5</v>
      </c>
    </row>
    <row r="6" customFormat="false" ht="15" hidden="false" customHeight="false" outlineLevel="0" collapsed="false">
      <c r="A6" s="0" t="s">
        <v>6</v>
      </c>
      <c r="B6" s="4" t="n">
        <f aca="false">'AI per Session'!E8</f>
        <v>0.045</v>
      </c>
      <c r="C6" s="5" t="n">
        <f aca="false">'AI per Session'!E9</f>
        <v>4.5</v>
      </c>
    </row>
    <row r="7" customFormat="false" ht="15" hidden="false" customHeight="false" outlineLevel="0" collapsed="false">
      <c r="A7" s="0" t="s">
        <v>7</v>
      </c>
      <c r="B7" s="4" t="n">
        <f aca="false">'AI per Session'!F8</f>
        <v>0.015</v>
      </c>
      <c r="C7" s="5" t="n">
        <f aca="false">'AI per Session'!F9</f>
        <v>1.5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0" t="s">
        <v>9</v>
      </c>
      <c r="B10" s="6" t="n">
        <f aca="false">'Payment Skim'!D6</f>
        <v>0.059</v>
      </c>
    </row>
    <row r="11" customFormat="false" ht="15" hidden="false" customHeight="false" outlineLevel="0" collapsed="false">
      <c r="A11" s="0" t="s">
        <v>10</v>
      </c>
      <c r="B11" s="6" t="n">
        <f aca="false">'Payment Skim'!D8</f>
        <v>0.035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7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7" t="s">
        <v>14</v>
      </c>
    </row>
    <row r="18" customFormat="false" ht="15" hidden="false" customHeight="false" outlineLevel="0" collapsed="false">
      <c r="A18" s="7" t="s">
        <v>15</v>
      </c>
    </row>
    <row r="19" customFormat="false" ht="15" hidden="false" customHeight="false" outlineLevel="0" collapsed="false">
      <c r="A19" s="7" t="s">
        <v>16</v>
      </c>
    </row>
    <row r="20" customFormat="false" ht="15" hidden="false" customHeight="false" outlineLevel="0" collapsed="false">
      <c r="A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2" t="s">
        <v>19</v>
      </c>
    </row>
    <row r="4" customFormat="false" ht="15" hidden="false" customHeight="false" outlineLevel="0" collapsed="false">
      <c r="A4" s="3" t="s">
        <v>2</v>
      </c>
      <c r="B4" s="3" t="s">
        <v>20</v>
      </c>
      <c r="C4" s="3" t="s">
        <v>21</v>
      </c>
    </row>
    <row r="5" customFormat="false" ht="15" hidden="false" customHeight="false" outlineLevel="0" collapsed="false">
      <c r="A5" s="8" t="s">
        <v>5</v>
      </c>
      <c r="B5" s="9" t="n">
        <v>5</v>
      </c>
      <c r="C5" s="9" t="n">
        <v>25</v>
      </c>
    </row>
    <row r="6" customFormat="false" ht="15" hidden="false" customHeight="false" outlineLevel="0" collapsed="false">
      <c r="A6" s="8" t="s">
        <v>6</v>
      </c>
      <c r="B6" s="9" t="n">
        <v>3</v>
      </c>
      <c r="C6" s="9" t="n">
        <v>15</v>
      </c>
    </row>
    <row r="7" customFormat="false" ht="15" hidden="false" customHeight="false" outlineLevel="0" collapsed="false">
      <c r="A7" s="8" t="s">
        <v>7</v>
      </c>
      <c r="B7" s="9" t="n">
        <v>1</v>
      </c>
      <c r="C7" s="9" t="n">
        <v>5</v>
      </c>
    </row>
    <row r="9" customFormat="false" ht="15" hidden="false" customHeight="false" outlineLevel="0" collapsed="false">
      <c r="A9" s="2" t="s">
        <v>22</v>
      </c>
    </row>
    <row r="10" customFormat="false" ht="15" hidden="false" customHeight="false" outlineLevel="0" collapsed="false">
      <c r="A10" s="0" t="s">
        <v>23</v>
      </c>
      <c r="B10" s="10" t="n">
        <v>0.1</v>
      </c>
    </row>
    <row r="11" customFormat="false" ht="15" hidden="false" customHeight="false" outlineLevel="0" collapsed="false">
      <c r="A11" s="0" t="s">
        <v>24</v>
      </c>
      <c r="B11" s="10" t="n">
        <v>0.5</v>
      </c>
    </row>
    <row r="13" customFormat="false" ht="15" hidden="false" customHeight="false" outlineLevel="0" collapsed="false">
      <c r="A13" s="2" t="s">
        <v>25</v>
      </c>
    </row>
    <row r="14" customFormat="false" ht="15" hidden="false" customHeight="false" outlineLevel="0" collapsed="false">
      <c r="A14" s="0" t="s">
        <v>26</v>
      </c>
      <c r="B14" s="11" t="n">
        <v>20000</v>
      </c>
    </row>
    <row r="15" customFormat="false" ht="15" hidden="false" customHeight="false" outlineLevel="0" collapsed="false">
      <c r="A15" s="0" t="s">
        <v>27</v>
      </c>
      <c r="B15" s="11" t="n">
        <v>3000</v>
      </c>
    </row>
    <row r="16" customFormat="false" ht="15" hidden="false" customHeight="false" outlineLevel="0" collapsed="false">
      <c r="A16" s="0" t="s">
        <v>28</v>
      </c>
      <c r="B16" s="11" t="n">
        <v>2000</v>
      </c>
    </row>
    <row r="18" customFormat="false" ht="15" hidden="false" customHeight="false" outlineLevel="0" collapsed="false">
      <c r="A18" s="2" t="s">
        <v>29</v>
      </c>
    </row>
    <row r="19" customFormat="false" ht="15" hidden="false" customHeight="false" outlineLevel="0" collapsed="false">
      <c r="A19" s="0" t="s">
        <v>30</v>
      </c>
      <c r="B19" s="12" t="n">
        <v>0.029</v>
      </c>
    </row>
    <row r="20" customFormat="false" ht="15" hidden="false" customHeight="false" outlineLevel="0" collapsed="false">
      <c r="A20" s="0" t="s">
        <v>31</v>
      </c>
      <c r="B20" s="13" t="n">
        <v>0.3</v>
      </c>
    </row>
    <row r="21" customFormat="false" ht="15" hidden="false" customHeight="false" outlineLevel="0" collapsed="false">
      <c r="A21" s="0" t="s">
        <v>32</v>
      </c>
      <c r="B21" s="13" t="n">
        <v>0.3</v>
      </c>
    </row>
    <row r="23" customFormat="false" ht="15" hidden="false" customHeight="false" outlineLevel="0" collapsed="false">
      <c r="A23" s="2" t="s">
        <v>11</v>
      </c>
    </row>
    <row r="24" customFormat="false" ht="15" hidden="false" customHeight="false" outlineLevel="0" collapsed="false">
      <c r="A24" s="0" t="s">
        <v>33</v>
      </c>
      <c r="B24" s="13" t="n">
        <v>0</v>
      </c>
    </row>
    <row r="25" customFormat="false" ht="15" hidden="false" customHeight="false" outlineLevel="0" collapsed="false">
      <c r="A25" s="0" t="s">
        <v>34</v>
      </c>
      <c r="B25" s="13" t="n">
        <v>5</v>
      </c>
    </row>
    <row r="26" customFormat="false" ht="15" hidden="false" customHeight="false" outlineLevel="0" collapsed="false">
      <c r="A26" s="0" t="s">
        <v>35</v>
      </c>
      <c r="B26" s="12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4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0" t="s">
        <v>41</v>
      </c>
      <c r="B5" s="15" t="n">
        <f aca="false">Assumptions!B14</f>
        <v>20000</v>
      </c>
      <c r="C5" s="16" t="s">
        <v>42</v>
      </c>
      <c r="D5" s="4" t="n">
        <f aca="false">B5/1000000*Assumptions!B5*Assumptions!B10</f>
        <v>0.01</v>
      </c>
      <c r="E5" s="4" t="n">
        <f aca="false">B5/1000000*Assumptions!B6*Assumptions!B10</f>
        <v>0.006</v>
      </c>
      <c r="F5" s="4" t="n">
        <f aca="false">B5/1000000*Assumptions!B7*Assumptions!B10</f>
        <v>0.002</v>
      </c>
    </row>
    <row r="6" customFormat="false" ht="15" hidden="false" customHeight="false" outlineLevel="0" collapsed="false">
      <c r="A6" s="0" t="s">
        <v>43</v>
      </c>
      <c r="B6" s="15" t="n">
        <f aca="false">Assumptions!B15</f>
        <v>3000</v>
      </c>
      <c r="C6" s="16" t="s">
        <v>44</v>
      </c>
      <c r="D6" s="4" t="n">
        <f aca="false">B6/1000000*Assumptions!B5</f>
        <v>0.015</v>
      </c>
      <c r="E6" s="4" t="n">
        <f aca="false">B6/1000000*Assumptions!B6</f>
        <v>0.009</v>
      </c>
      <c r="F6" s="4" t="n">
        <f aca="false">B6/1000000*Assumptions!B7</f>
        <v>0.003</v>
      </c>
    </row>
    <row r="7" customFormat="false" ht="15" hidden="false" customHeight="false" outlineLevel="0" collapsed="false">
      <c r="A7" s="0" t="s">
        <v>28</v>
      </c>
      <c r="B7" s="15" t="n">
        <f aca="false">Assumptions!B16</f>
        <v>2000</v>
      </c>
      <c r="C7" s="16" t="s">
        <v>45</v>
      </c>
      <c r="D7" s="4" t="n">
        <f aca="false">B7/1000000*Assumptions!C5</f>
        <v>0.05</v>
      </c>
      <c r="E7" s="4" t="n">
        <f aca="false">B7/1000000*Assumptions!C6</f>
        <v>0.03</v>
      </c>
      <c r="F7" s="4" t="n">
        <f aca="false">B7/1000000*Assumptions!C7</f>
        <v>0.01</v>
      </c>
    </row>
    <row r="8" customFormat="false" ht="15" hidden="false" customHeight="false" outlineLevel="0" collapsed="false">
      <c r="A8" s="17" t="s">
        <v>46</v>
      </c>
      <c r="D8" s="18" t="n">
        <f aca="false">SUM(D5:D7)</f>
        <v>0.075</v>
      </c>
      <c r="E8" s="18" t="n">
        <f aca="false">SUM(E5:E7)</f>
        <v>0.045</v>
      </c>
      <c r="F8" s="18" t="n">
        <f aca="false">SUM(F5:F7)</f>
        <v>0.015</v>
      </c>
    </row>
    <row r="9" customFormat="false" ht="15" hidden="false" customHeight="false" outlineLevel="0" collapsed="false">
      <c r="A9" s="17" t="s">
        <v>47</v>
      </c>
      <c r="D9" s="19" t="n">
        <f aca="false">D8*100</f>
        <v>7.5</v>
      </c>
      <c r="E9" s="19" t="n">
        <f aca="false">E8*100</f>
        <v>4.5</v>
      </c>
      <c r="F9" s="19" t="n">
        <f aca="false">F8*100</f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14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</row>
    <row r="5" customFormat="false" ht="15" hidden="false" customHeight="false" outlineLevel="0" collapsed="false">
      <c r="A5" s="13" t="n">
        <v>9.99</v>
      </c>
      <c r="B5" s="20" t="n">
        <f aca="false">A5*Assumptions!$B$19+Assumptions!$B$20</f>
        <v>0.58971</v>
      </c>
      <c r="C5" s="20" t="n">
        <f aca="false">A5-B5</f>
        <v>9.40029</v>
      </c>
      <c r="D5" s="6" t="n">
        <f aca="false">B5/A5</f>
        <v>0.05903003003003</v>
      </c>
    </row>
    <row r="6" customFormat="false" ht="15" hidden="false" customHeight="false" outlineLevel="0" collapsed="false">
      <c r="A6" s="13" t="n">
        <v>10</v>
      </c>
      <c r="B6" s="20" t="n">
        <f aca="false">A6*Assumptions!$B$19+Assumptions!$B$20</f>
        <v>0.59</v>
      </c>
      <c r="C6" s="20" t="n">
        <f aca="false">A6-B6</f>
        <v>9.41</v>
      </c>
      <c r="D6" s="6" t="n">
        <f aca="false">B6/A6</f>
        <v>0.059</v>
      </c>
    </row>
    <row r="7" customFormat="false" ht="15" hidden="false" customHeight="false" outlineLevel="0" collapsed="false">
      <c r="A7" s="13" t="n">
        <v>25</v>
      </c>
      <c r="B7" s="20" t="n">
        <f aca="false">A7*Assumptions!$B$19+Assumptions!$B$20</f>
        <v>1.025</v>
      </c>
      <c r="C7" s="20" t="n">
        <f aca="false">A7-B7</f>
        <v>23.975</v>
      </c>
      <c r="D7" s="6" t="n">
        <f aca="false">B7/A7</f>
        <v>0.041</v>
      </c>
    </row>
    <row r="8" customFormat="false" ht="15" hidden="false" customHeight="false" outlineLevel="0" collapsed="false">
      <c r="A8" s="13" t="n">
        <v>50</v>
      </c>
      <c r="B8" s="20" t="n">
        <f aca="false">A8*Assumptions!$B$19+Assumptions!$B$20</f>
        <v>1.75</v>
      </c>
      <c r="C8" s="20" t="n">
        <f aca="false">A8-B8</f>
        <v>48.25</v>
      </c>
      <c r="D8" s="6" t="n">
        <f aca="false">B8/A8</f>
        <v>0.035</v>
      </c>
    </row>
    <row r="9" customFormat="false" ht="15" hidden="false" customHeight="false" outlineLevel="0" collapsed="false">
      <c r="A9" s="13" t="n">
        <v>100</v>
      </c>
      <c r="B9" s="20" t="n">
        <f aca="false">A9*Assumptions!$B$19+Assumptions!$B$20</f>
        <v>3.2</v>
      </c>
      <c r="C9" s="20" t="n">
        <f aca="false">A9-B9</f>
        <v>96.8</v>
      </c>
      <c r="D9" s="6" t="n">
        <f aca="false">B9/A9</f>
        <v>0.032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2026-06-07T22:29:49Z</dcterms:created>
  <dc:creator>openpyxl</dc:creator>
  <dc:description/>
  <dc:language>en-US</dc:language>
  <cp:lastModifiedBy/>
  <dcterms:modified xsi:type="dcterms:W3CDTF">2026-06-07T22:29:49Z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